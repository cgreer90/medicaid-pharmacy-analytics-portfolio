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Matrix" sheetId="1" state="visible" r:id="rId3"/>
    <sheet name="Defect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<sst xmlns="http://schemas.openxmlformats.org/spreadsheetml/2006/main" count="171" uniqueCount="100">
  <si>
    <t xml:space="preserve">Test Case ID</t>
  </si>
  <si>
    <t xml:space="preserve">Scenario Description</t>
  </si>
  <si>
    <t xml:space="preserve">Diagnosis Code</t>
  </si>
  <si>
    <t xml:space="preserve">Approved Dx?</t>
  </si>
  <si>
    <t xml:space="preserve">BMI</t>
  </si>
  <si>
    <t xml:space="preserve">Age</t>
  </si>
  <si>
    <t xml:space="preserve">Step Therapy on File?</t>
  </si>
  <si>
    <t xml:space="preserve">Quantity Billed</t>
  </si>
  <si>
    <t xml:space="preserve">Days Supply</t>
  </si>
  <si>
    <t xml:space="preserve">System Expected Outcome</t>
  </si>
  <si>
    <t xml:space="preserve">Actual System Outcome (Observed)</t>
  </si>
  <si>
    <t xml:space="preserve">Result</t>
  </si>
  <si>
    <t xml:space="preserve">TC-01</t>
  </si>
  <si>
    <t xml:space="preserve">Straightforward approve — meets all criteria</t>
  </si>
  <si>
    <t xml:space="preserve">E66.01</t>
  </si>
  <si>
    <t xml:space="preserve">Y</t>
  </si>
  <si>
    <t xml:space="preserve">Approve</t>
  </si>
  <si>
    <t xml:space="preserve">TC-02</t>
  </si>
  <si>
    <t xml:space="preserve">Straightforward deny — BMI below threshold</t>
  </si>
  <si>
    <t xml:space="preserve">Deny</t>
  </si>
  <si>
    <t xml:space="preserve">TC-03</t>
  </si>
  <si>
    <t xml:space="preserve">Deny — diagnosis not on approved list (unrelated dx)</t>
  </si>
  <si>
    <t xml:space="preserve">R63.5</t>
  </si>
  <si>
    <t xml:space="preserve">TC-04</t>
  </si>
  <si>
    <t xml:space="preserve">Deny — step therapy not on file</t>
  </si>
  <si>
    <t xml:space="preserve">E66.09</t>
  </si>
  <si>
    <t xml:space="preserve">N</t>
  </si>
  <si>
    <t xml:space="preserve">TC-05</t>
  </si>
  <si>
    <t xml:space="preserve">Deny — quantity exceeds limit</t>
  </si>
  <si>
    <t xml:space="preserve">E66.3</t>
  </si>
  <si>
    <t xml:space="preserve">TC-06</t>
  </si>
  <si>
    <t xml:space="preserve">Deny — under age 18</t>
  </si>
  <si>
    <t xml:space="preserve">TC-07</t>
  </si>
  <si>
    <t xml:space="preserve">Edge case — BMI exactly at threshold (30)</t>
  </si>
  <si>
    <t xml:space="preserve">TC-08</t>
  </si>
  <si>
    <t xml:space="preserve">Edge case — age exactly at threshold (18)</t>
  </si>
  <si>
    <t xml:space="preserve">TC-09</t>
  </si>
  <si>
    <t xml:space="preserve">Edge case — quantity exactly at limit (1)</t>
  </si>
  <si>
    <t xml:space="preserve">TC-10</t>
  </si>
  <si>
    <t xml:space="preserve">Pend — missing diagnosis code</t>
  </si>
  <si>
    <t xml:space="preserve">Pend</t>
  </si>
  <si>
    <t xml:space="preserve">TC-11</t>
  </si>
  <si>
    <t xml:space="preserve">Pend — missing BMI on PA record</t>
  </si>
  <si>
    <t xml:space="preserve">TC-12</t>
  </si>
  <si>
    <t xml:space="preserve">Pend — missing age on record</t>
  </si>
  <si>
    <t xml:space="preserve">TC-13</t>
  </si>
  <si>
    <t xml:space="preserve">Pend — missing step-therapy indicator</t>
  </si>
  <si>
    <t xml:space="preserve">TC-14</t>
  </si>
  <si>
    <t xml:space="preserve">Diabetes diagnosis submitted — out of scope for this rule, should deny under weight-mgmt rule</t>
  </si>
  <si>
    <t xml:space="preserve">E11.9</t>
  </si>
  <si>
    <t xml:space="preserve">TC-15</t>
  </si>
  <si>
    <t xml:space="preserve">Deny — days supply mismatch with 28-day fill logic</t>
  </si>
  <si>
    <t xml:space="preserve">TC-16</t>
  </si>
  <si>
    <t xml:space="preserve">Approve — high BMI, all criteria clearly met</t>
  </si>
  <si>
    <t xml:space="preserve">TC-17</t>
  </si>
  <si>
    <t xml:space="preserve">Deny — quantity well above limit (bulk fill)</t>
  </si>
  <si>
    <t xml:space="preserve">TC-18</t>
  </si>
  <si>
    <t xml:space="preserve">Approve — minimum valid days supply</t>
  </si>
  <si>
    <t xml:space="preserve">TC-19</t>
  </si>
  <si>
    <t xml:space="preserve">Deny — BMI just below threshold (29)</t>
  </si>
  <si>
    <t xml:space="preserve">TC-20</t>
  </si>
  <si>
    <t xml:space="preserve">Approve — older adult member</t>
  </si>
  <si>
    <t xml:space="preserve">TC-21</t>
  </si>
  <si>
    <t xml:space="preserve">Pend — multiple fields missing (dx and BMI both blank)</t>
  </si>
  <si>
    <t xml:space="preserve">TC-22</t>
  </si>
  <si>
    <t xml:space="preserve">Deny — step therapy not on file, otherwise qualifies</t>
  </si>
  <si>
    <t xml:space="preserve">TC-23</t>
  </si>
  <si>
    <t xml:space="preserve">Approve — second qualifying diagnosis code variant</t>
  </si>
  <si>
    <t xml:space="preserve">TC-24</t>
  </si>
  <si>
    <t xml:space="preserve">Deny — age below 18 with otherwise valid record</t>
  </si>
  <si>
    <t xml:space="preserve">TC-25</t>
  </si>
  <si>
    <t xml:space="preserve">Approve — days supply at upper valid bound (31)</t>
  </si>
  <si>
    <t xml:space="preserve">Legend: PASS = System Expected Outcome matches Actual System Outcome (Observed). FAIL = mismatch — logged as a defect (see Defect Log tab).</t>
  </si>
  <si>
    <t xml:space="preserve">Defect ID</t>
  </si>
  <si>
    <t xml:space="preserve">Related Test Case</t>
  </si>
  <si>
    <t xml:space="preserve">Description</t>
  </si>
  <si>
    <t xml:space="preserve">Expected Behavior</t>
  </si>
  <si>
    <t xml:space="preserve">Actual (Observed) Behavior</t>
  </si>
  <si>
    <t xml:space="preserve">Severity</t>
  </si>
  <si>
    <t xml:space="preserve">Root Cause (Hypothesis)</t>
  </si>
  <si>
    <t xml:space="preserve">Recommended Resolution</t>
  </si>
  <si>
    <t xml:space="preserve">Status</t>
  </si>
  <si>
    <t xml:space="preserve">DEF-001</t>
  </si>
  <si>
    <t xml:space="preserve">Claim with quantity billed (2) exceeding the 1-fill/28-day limit was approved instead of denied.</t>
  </si>
  <si>
    <t xml:space="preserve">Deny — quantity exceeds the defined limit.</t>
  </si>
  <si>
    <t xml:space="preserve">High</t>
  </si>
  <si>
    <t xml:space="preserve">Quantity-limit edit does not appear to be evaluated for this drug category, or is being bypassed when other criteria (diagnosis, BMI, step therapy) are met.</t>
  </si>
  <si>
    <t xml:space="preserve">Verify quantity-limit edit configuration for GLP-1 weight-management NDCs specifically; confirm the edit fires independently of other approval criteria rather than being short-circuited by them.</t>
  </si>
  <si>
    <t xml:space="preserve">Open</t>
  </si>
  <si>
    <t xml:space="preserve">DEF-002</t>
  </si>
  <si>
    <t xml:space="preserve">Claim with a missing/blank BMI value on the PA record was denied instead of pended for additional information.</t>
  </si>
  <si>
    <t xml:space="preserve">Pend — required field (BMI) is missing.</t>
  </si>
  <si>
    <t xml:space="preserve">Medium</t>
  </si>
  <si>
    <t xml:space="preserve">System may be treating a blank/null BMI field as a failed numeric comparison (e.g., blank &lt; 30 evaluates as true) rather than first checking for missing data.</t>
  </si>
  <si>
    <t xml:space="preserve">Add an explicit null/blank check for BMI (and other required fields) ahead of the numeric threshold comparison so missing data routes to Pend before any Approve/Deny logic runs.</t>
  </si>
  <si>
    <t xml:space="preserve">DEF-003</t>
  </si>
  <si>
    <t xml:space="preserve">Claim submitted with a Type 2 diabetes diagnosis code was approved under the weight-management rule instead of being denied as out of scope.</t>
  </si>
  <si>
    <t xml:space="preserve">Deny — diagnosis code is not on the approved weight-management list.</t>
  </si>
  <si>
    <t xml:space="preserve">The approved-diagnosis list check may not be restricting correctly, or the diabetes-indication claim is being evaluated against the wrong rule set entirely (routing issue rather than a logic issue within this rule).</t>
  </si>
  <si>
    <t xml:space="preserve">Confirm claim routing correctly separates diabetes-indication GLP-1 claims (existing diabetes PA rule) from weight-management-indication claims (this rule) before this rule's logic is applied; add a regression test covering diagnosis-code routing.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</si>
</sst>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6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9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3" t="str">
        <f aca="false">IF(C2="","N/A",IF(OR(C2="E66.01",C2="E66.09",C2="E66.3"),"Y","N"))</f>
        <v>Y</v>
      </c>
      <c r="E2" s="3" t="n">
        <v>32</v>
      </c>
      <c r="F2" s="3" t="n">
        <v>34</v>
      </c>
      <c r="G2" s="3" t="s">
        <v>15</v>
      </c>
      <c r="H2" s="3" t="n">
        <v>1</v>
      </c>
      <c r="I2" s="3" t="n">
        <v>28</v>
      </c>
      <c r="J2" s="3" t="str">
        <f aca="false">IF(OR(C2="",E2="",F2="",G2=""),"Pend",IF(AND(D2="Y",E2&gt;=30,F2&gt;=18,G2="Y",H2&lt;=1,I2&gt;=28,I2&lt;=31),"Approve","Deny"))</f>
        <v>Approve</v>
      </c>
      <c r="K2" s="3" t="s">
        <v>16</v>
      </c>
      <c r="L2" s="4" t="str">
        <f aca="false">IF(J2=K2,"PASS","FAIL")</f>
        <v>PASS</v>
      </c>
    </row>
    <row r="3" customFormat="false" ht="15" hidden="false" customHeight="true" outlineLevel="0" collapsed="false">
      <c r="A3" s="3" t="s">
        <v>17</v>
      </c>
      <c r="B3" s="3" t="s">
        <v>18</v>
      </c>
      <c r="C3" s="3" t="s">
        <v>14</v>
      </c>
      <c r="D3" s="3" t="str">
        <f aca="false">IF(C3="","N/A",IF(OR(C3="E66.01",C3="E66.09",C3="E66.3"),"Y","N"))</f>
        <v>Y</v>
      </c>
      <c r="E3" s="3" t="n">
        <v>27</v>
      </c>
      <c r="F3" s="3" t="n">
        <v>40</v>
      </c>
      <c r="G3" s="3" t="s">
        <v>15</v>
      </c>
      <c r="H3" s="3" t="n">
        <v>1</v>
      </c>
      <c r="I3" s="3" t="n">
        <v>28</v>
      </c>
      <c r="J3" s="3" t="str">
        <f aca="false">IF(OR(C3="",E3="",F3="",G3=""),"Pend",IF(AND(D3="Y",E3&gt;=30,F3&gt;=18,G3="Y",H3&lt;=1,I3&gt;=28,I3&lt;=31),"Approve","Deny"))</f>
        <v>Deny</v>
      </c>
      <c r="K3" s="3" t="s">
        <v>19</v>
      </c>
      <c r="L3" s="4" t="str">
        <f aca="false">IF(J3=K3,"PASS","FAIL")</f>
        <v>PASS</v>
      </c>
    </row>
    <row r="4" customFormat="false" ht="15" hidden="false" customHeight="true" outlineLevel="0" collapsed="false">
      <c r="A4" s="3" t="s">
        <v>20</v>
      </c>
      <c r="B4" s="3" t="s">
        <v>21</v>
      </c>
      <c r="C4" s="3" t="s">
        <v>22</v>
      </c>
      <c r="D4" s="3" t="str">
        <f aca="false">IF(C4="","N/A",IF(OR(C4="E66.01",C4="E66.09",C4="E66.3"),"Y","N"))</f>
        <v>N</v>
      </c>
      <c r="E4" s="3" t="n">
        <v>33</v>
      </c>
      <c r="F4" s="3" t="n">
        <v>29</v>
      </c>
      <c r="G4" s="3" t="s">
        <v>15</v>
      </c>
      <c r="H4" s="3" t="n">
        <v>1</v>
      </c>
      <c r="I4" s="3" t="n">
        <v>28</v>
      </c>
      <c r="J4" s="3" t="str">
        <f aca="false">IF(OR(C4="",E4="",F4="",G4=""),"Pend",IF(AND(D4="Y",E4&gt;=30,F4&gt;=18,G4="Y",H4&lt;=1,I4&gt;=28,I4&lt;=31),"Approve","Deny"))</f>
        <v>Deny</v>
      </c>
      <c r="K4" s="3" t="s">
        <v>19</v>
      </c>
      <c r="L4" s="4" t="str">
        <f aca="false">IF(J4=K4,"PASS","FAIL")</f>
        <v>PASS</v>
      </c>
    </row>
    <row r="5" customFormat="false" ht="15" hidden="false" customHeight="true" outlineLevel="0" collapsed="false">
      <c r="A5" s="3" t="s">
        <v>23</v>
      </c>
      <c r="B5" s="3" t="s">
        <v>24</v>
      </c>
      <c r="C5" s="3" t="s">
        <v>25</v>
      </c>
      <c r="D5" s="3" t="str">
        <f aca="false">IF(C5="","N/A",IF(OR(C5="E66.01",C5="E66.09",C5="E66.3"),"Y","N"))</f>
        <v>Y</v>
      </c>
      <c r="E5" s="3" t="n">
        <v>31</v>
      </c>
      <c r="F5" s="3" t="n">
        <v>45</v>
      </c>
      <c r="G5" s="3" t="s">
        <v>26</v>
      </c>
      <c r="H5" s="3" t="n">
        <v>1</v>
      </c>
      <c r="I5" s="3" t="n">
        <v>28</v>
      </c>
      <c r="J5" s="3" t="str">
        <f aca="false">IF(OR(C5="",E5="",F5="",G5=""),"Pend",IF(AND(D5="Y",E5&gt;=30,F5&gt;=18,G5="Y",H5&lt;=1,I5&gt;=28,I5&lt;=31),"Approve","Deny"))</f>
        <v>Deny</v>
      </c>
      <c r="K5" s="3" t="s">
        <v>19</v>
      </c>
      <c r="L5" s="4" t="str">
        <f aca="false">IF(J5=K5,"PASS","FAIL")</f>
        <v>PASS</v>
      </c>
    </row>
    <row r="6" customFormat="false" ht="15" hidden="false" customHeight="true" outlineLevel="0" collapsed="false">
      <c r="A6" s="3" t="s">
        <v>27</v>
      </c>
      <c r="B6" s="3" t="s">
        <v>28</v>
      </c>
      <c r="C6" s="3" t="s">
        <v>29</v>
      </c>
      <c r="D6" s="3" t="str">
        <f aca="false">IF(C6="","N/A",IF(OR(C6="E66.01",C6="E66.09",C6="E66.3"),"Y","N"))</f>
        <v>Y</v>
      </c>
      <c r="E6" s="3" t="n">
        <v>35</v>
      </c>
      <c r="F6" s="3" t="n">
        <v>38</v>
      </c>
      <c r="G6" s="3" t="s">
        <v>15</v>
      </c>
      <c r="H6" s="3" t="n">
        <v>2</v>
      </c>
      <c r="I6" s="3" t="n">
        <v>28</v>
      </c>
      <c r="J6" s="3" t="str">
        <f aca="false">IF(OR(C6="",E6="",F6="",G6=""),"Pend",IF(AND(D6="Y",E6&gt;=30,F6&gt;=18,G6="Y",H6&lt;=1,I6&gt;=28,I6&lt;=31),"Approve","Deny"))</f>
        <v>Deny</v>
      </c>
      <c r="K6" s="3" t="s">
        <v>16</v>
      </c>
      <c r="L6" s="5" t="str">
        <f aca="false">IF(J6=K6,"PASS","FAIL")</f>
        <v>FAIL</v>
      </c>
    </row>
    <row r="7" customFormat="false" ht="15" hidden="false" customHeight="true" outlineLevel="0" collapsed="false">
      <c r="A7" s="3" t="s">
        <v>30</v>
      </c>
      <c r="B7" s="3" t="s">
        <v>31</v>
      </c>
      <c r="C7" s="3" t="s">
        <v>14</v>
      </c>
      <c r="D7" s="3" t="str">
        <f aca="false">IF(C7="","N/A",IF(OR(C7="E66.01",C7="E66.09",C7="E66.3"),"Y","N"))</f>
        <v>Y</v>
      </c>
      <c r="E7" s="3" t="n">
        <v>31</v>
      </c>
      <c r="F7" s="3" t="n">
        <v>16</v>
      </c>
      <c r="G7" s="3" t="s">
        <v>15</v>
      </c>
      <c r="H7" s="3" t="n">
        <v>1</v>
      </c>
      <c r="I7" s="3" t="n">
        <v>28</v>
      </c>
      <c r="J7" s="3" t="str">
        <f aca="false">IF(OR(C7="",E7="",F7="",G7=""),"Pend",IF(AND(D7="Y",E7&gt;=30,F7&gt;=18,G7="Y",H7&lt;=1,I7&gt;=28,I7&lt;=31),"Approve","Deny"))</f>
        <v>Deny</v>
      </c>
      <c r="K7" s="3" t="s">
        <v>19</v>
      </c>
      <c r="L7" s="4" t="str">
        <f aca="false">IF(J7=K7,"PASS","FAIL")</f>
        <v>PASS</v>
      </c>
    </row>
    <row r="8" customFormat="false" ht="15" hidden="false" customHeight="true" outlineLevel="0" collapsed="false">
      <c r="A8" s="3" t="s">
        <v>32</v>
      </c>
      <c r="B8" s="3" t="s">
        <v>33</v>
      </c>
      <c r="C8" s="3" t="s">
        <v>25</v>
      </c>
      <c r="D8" s="3" t="str">
        <f aca="false">IF(C8="","N/A",IF(OR(C8="E66.01",C8="E66.09",C8="E66.3"),"Y","N"))</f>
        <v>Y</v>
      </c>
      <c r="E8" s="3" t="n">
        <v>30</v>
      </c>
      <c r="F8" s="3" t="n">
        <v>41</v>
      </c>
      <c r="G8" s="3" t="s">
        <v>15</v>
      </c>
      <c r="H8" s="3" t="n">
        <v>1</v>
      </c>
      <c r="I8" s="3" t="n">
        <v>28</v>
      </c>
      <c r="J8" s="3" t="str">
        <f aca="false">IF(OR(C8="",E8="",F8="",G8=""),"Pend",IF(AND(D8="Y",E8&gt;=30,F8&gt;=18,G8="Y",H8&lt;=1,I8&gt;=28,I8&lt;=31),"Approve","Deny"))</f>
        <v>Approve</v>
      </c>
      <c r="K8" s="3" t="s">
        <v>16</v>
      </c>
      <c r="L8" s="4" t="str">
        <f aca="false">IF(J8=K8,"PASS","FAIL")</f>
        <v>PASS</v>
      </c>
    </row>
    <row r="9" customFormat="false" ht="15" hidden="false" customHeight="true" outlineLevel="0" collapsed="false">
      <c r="A9" s="3" t="s">
        <v>34</v>
      </c>
      <c r="B9" s="3" t="s">
        <v>35</v>
      </c>
      <c r="C9" s="3" t="s">
        <v>29</v>
      </c>
      <c r="D9" s="3" t="str">
        <f aca="false">IF(C9="","N/A",IF(OR(C9="E66.01",C9="E66.09",C9="E66.3"),"Y","N"))</f>
        <v>Y</v>
      </c>
      <c r="E9" s="3" t="n">
        <v>31</v>
      </c>
      <c r="F9" s="3" t="n">
        <v>18</v>
      </c>
      <c r="G9" s="3" t="s">
        <v>15</v>
      </c>
      <c r="H9" s="3" t="n">
        <v>1</v>
      </c>
      <c r="I9" s="3" t="n">
        <v>28</v>
      </c>
      <c r="J9" s="3" t="str">
        <f aca="false">IF(OR(C9="",E9="",F9="",G9=""),"Pend",IF(AND(D9="Y",E9&gt;=30,F9&gt;=18,G9="Y",H9&lt;=1,I9&gt;=28,I9&lt;=31),"Approve","Deny"))</f>
        <v>Approve</v>
      </c>
      <c r="K9" s="3" t="s">
        <v>16</v>
      </c>
      <c r="L9" s="4" t="str">
        <f aca="false">IF(J9=K9,"PASS","FAIL")</f>
        <v>PASS</v>
      </c>
    </row>
    <row r="10" customFormat="false" ht="15" hidden="false" customHeight="true" outlineLevel="0" collapsed="false">
      <c r="A10" s="3" t="s">
        <v>36</v>
      </c>
      <c r="B10" s="3" t="s">
        <v>37</v>
      </c>
      <c r="C10" s="3" t="s">
        <v>14</v>
      </c>
      <c r="D10" s="3" t="str">
        <f aca="false">IF(C10="","N/A",IF(OR(C10="E66.01",C10="E66.09",C10="E66.3"),"Y","N"))</f>
        <v>Y</v>
      </c>
      <c r="E10" s="3" t="n">
        <v>34</v>
      </c>
      <c r="F10" s="3" t="n">
        <v>50</v>
      </c>
      <c r="G10" s="3" t="s">
        <v>15</v>
      </c>
      <c r="H10" s="3" t="n">
        <v>1</v>
      </c>
      <c r="I10" s="3" t="n">
        <v>28</v>
      </c>
      <c r="J10" s="3" t="str">
        <f aca="false">IF(OR(C10="",E10="",F10="",G10=""),"Pend",IF(AND(D10="Y",E10&gt;=30,F10&gt;=18,G10="Y",H10&lt;=1,I10&gt;=28,I10&lt;=31),"Approve","Deny"))</f>
        <v>Approve</v>
      </c>
      <c r="K10" s="3" t="s">
        <v>16</v>
      </c>
      <c r="L10" s="4" t="str">
        <f aca="false">IF(J10=K10,"PASS","FAIL")</f>
        <v>PASS</v>
      </c>
    </row>
    <row r="11" customFormat="false" ht="15" hidden="false" customHeight="true" outlineLevel="0" collapsed="false">
      <c r="A11" s="3" t="s">
        <v>38</v>
      </c>
      <c r="B11" s="3" t="s">
        <v>39</v>
      </c>
      <c r="C11" s="3"/>
      <c r="D11" s="3" t="str">
        <f aca="false">IF(C11="","N/A",IF(OR(C11="E66.01",C11="E66.09",C11="E66.3"),"Y","N"))</f>
        <v>N/A</v>
      </c>
      <c r="E11" s="3" t="n">
        <v>32</v>
      </c>
      <c r="F11" s="3" t="n">
        <v>33</v>
      </c>
      <c r="G11" s="3" t="s">
        <v>15</v>
      </c>
      <c r="H11" s="3" t="n">
        <v>1</v>
      </c>
      <c r="I11" s="3" t="n">
        <v>28</v>
      </c>
      <c r="J11" s="3" t="str">
        <f aca="false">IF(OR(C11="",E11="",F11="",G11=""),"Pend",IF(AND(D11="Y",E11&gt;=30,F11&gt;=18,G11="Y",H11&lt;=1,I11&gt;=28,I11&lt;=31),"Approve","Deny"))</f>
        <v>Pend</v>
      </c>
      <c r="K11" s="3" t="s">
        <v>40</v>
      </c>
      <c r="L11" s="4" t="str">
        <f aca="false">IF(J11=K11,"PASS","FAIL")</f>
        <v>PASS</v>
      </c>
    </row>
    <row r="12" customFormat="false" ht="15" hidden="false" customHeight="true" outlineLevel="0" collapsed="false">
      <c r="A12" s="3" t="s">
        <v>41</v>
      </c>
      <c r="B12" s="3" t="s">
        <v>42</v>
      </c>
      <c r="C12" s="3" t="s">
        <v>25</v>
      </c>
      <c r="D12" s="3" t="str">
        <f aca="false">IF(C12="","N/A",IF(OR(C12="E66.01",C12="E66.09",C12="E66.3"),"Y","N"))</f>
        <v>Y</v>
      </c>
      <c r="E12" s="3"/>
      <c r="F12" s="3" t="n">
        <v>29</v>
      </c>
      <c r="G12" s="3" t="s">
        <v>15</v>
      </c>
      <c r="H12" s="3" t="n">
        <v>1</v>
      </c>
      <c r="I12" s="3" t="n">
        <v>28</v>
      </c>
      <c r="J12" s="3" t="str">
        <f aca="false">IF(OR(C12="",E12="",F12="",G12=""),"Pend",IF(AND(D12="Y",E12&gt;=30,F12&gt;=18,G12="Y",H12&lt;=1,I12&gt;=28,I12&lt;=31),"Approve","Deny"))</f>
        <v>Pend</v>
      </c>
      <c r="K12" s="3" t="s">
        <v>19</v>
      </c>
      <c r="L12" s="5" t="str">
        <f aca="false">IF(J12=K12,"PASS","FAIL")</f>
        <v>FAIL</v>
      </c>
    </row>
    <row r="13" customFormat="false" ht="15" hidden="false" customHeight="true" outlineLevel="0" collapsed="false">
      <c r="A13" s="3" t="s">
        <v>43</v>
      </c>
      <c r="B13" s="3" t="s">
        <v>44</v>
      </c>
      <c r="C13" s="3" t="s">
        <v>14</v>
      </c>
      <c r="D13" s="3" t="str">
        <f aca="false">IF(C13="","N/A",IF(OR(C13="E66.01",C13="E66.09",C13="E66.3"),"Y","N"))</f>
        <v>Y</v>
      </c>
      <c r="E13" s="3" t="n">
        <v>33</v>
      </c>
      <c r="F13" s="3"/>
      <c r="G13" s="3" t="s">
        <v>15</v>
      </c>
      <c r="H13" s="3" t="n">
        <v>1</v>
      </c>
      <c r="I13" s="3" t="n">
        <v>28</v>
      </c>
      <c r="J13" s="3" t="str">
        <f aca="false">IF(OR(C13="",E13="",F13="",G13=""),"Pend",IF(AND(D13="Y",E13&gt;=30,F13&gt;=18,G13="Y",H13&lt;=1,I13&gt;=28,I13&lt;=31),"Approve","Deny"))</f>
        <v>Pend</v>
      </c>
      <c r="K13" s="3" t="s">
        <v>40</v>
      </c>
      <c r="L13" s="4" t="str">
        <f aca="false">IF(J13=K13,"PASS","FAIL")</f>
        <v>PASS</v>
      </c>
    </row>
    <row r="14" customFormat="false" ht="15" hidden="false" customHeight="true" outlineLevel="0" collapsed="false">
      <c r="A14" s="3" t="s">
        <v>45</v>
      </c>
      <c r="B14" s="3" t="s">
        <v>46</v>
      </c>
      <c r="C14" s="3" t="s">
        <v>29</v>
      </c>
      <c r="D14" s="3" t="str">
        <f aca="false">IF(C14="","N/A",IF(OR(C14="E66.01",C14="E66.09",C14="E66.3"),"Y","N"))</f>
        <v>Y</v>
      </c>
      <c r="E14" s="3" t="n">
        <v>36</v>
      </c>
      <c r="F14" s="3" t="n">
        <v>44</v>
      </c>
      <c r="G14" s="3"/>
      <c r="H14" s="3" t="n">
        <v>1</v>
      </c>
      <c r="I14" s="3" t="n">
        <v>28</v>
      </c>
      <c r="J14" s="3" t="str">
        <f aca="false">IF(OR(C14="",E14="",F14="",G14=""),"Pend",IF(AND(D14="Y",E14&gt;=30,F14&gt;=18,G14="Y",H14&lt;=1,I14&gt;=28,I14&lt;=31),"Approve","Deny"))</f>
        <v>Pend</v>
      </c>
      <c r="K14" s="3" t="s">
        <v>40</v>
      </c>
      <c r="L14" s="4" t="str">
        <f aca="false">IF(J14=K14,"PASS","FAIL")</f>
        <v>PASS</v>
      </c>
    </row>
    <row r="15" customFormat="false" ht="15" hidden="false" customHeight="true" outlineLevel="0" collapsed="false">
      <c r="A15" s="3" t="s">
        <v>47</v>
      </c>
      <c r="B15" s="3" t="s">
        <v>48</v>
      </c>
      <c r="C15" s="3" t="s">
        <v>49</v>
      </c>
      <c r="D15" s="3" t="str">
        <f aca="false">IF(C15="","N/A",IF(OR(C15="E66.01",C15="E66.09",C15="E66.3"),"Y","N"))</f>
        <v>N</v>
      </c>
      <c r="E15" s="3" t="n">
        <v>33</v>
      </c>
      <c r="F15" s="3" t="n">
        <v>47</v>
      </c>
      <c r="G15" s="3" t="s">
        <v>15</v>
      </c>
      <c r="H15" s="3" t="n">
        <v>1</v>
      </c>
      <c r="I15" s="3" t="n">
        <v>28</v>
      </c>
      <c r="J15" s="3" t="str">
        <f aca="false">IF(OR(C15="",E15="",F15="",G15=""),"Pend",IF(AND(D15="Y",E15&gt;=30,F15&gt;=18,G15="Y",H15&lt;=1,I15&gt;=28,I15&lt;=31),"Approve","Deny"))</f>
        <v>Deny</v>
      </c>
      <c r="K15" s="3" t="s">
        <v>16</v>
      </c>
      <c r="L15" s="5" t="str">
        <f aca="false">IF(J15=K15,"PASS","FAIL")</f>
        <v>FAIL</v>
      </c>
    </row>
    <row r="16" customFormat="false" ht="15" hidden="false" customHeight="true" outlineLevel="0" collapsed="false">
      <c r="A16" s="3" t="s">
        <v>50</v>
      </c>
      <c r="B16" s="3" t="s">
        <v>51</v>
      </c>
      <c r="C16" s="3" t="s">
        <v>14</v>
      </c>
      <c r="D16" s="3" t="str">
        <f aca="false">IF(C16="","N/A",IF(OR(C16="E66.01",C16="E66.09",C16="E66.3"),"Y","N"))</f>
        <v>Y</v>
      </c>
      <c r="E16" s="3" t="n">
        <v>32</v>
      </c>
      <c r="F16" s="3" t="n">
        <v>39</v>
      </c>
      <c r="G16" s="3" t="s">
        <v>15</v>
      </c>
      <c r="H16" s="3" t="n">
        <v>1</v>
      </c>
      <c r="I16" s="3" t="n">
        <v>45</v>
      </c>
      <c r="J16" s="3" t="str">
        <f aca="false">IF(OR(C16="",E16="",F16="",G16=""),"Pend",IF(AND(D16="Y",E16&gt;=30,F16&gt;=18,G16="Y",H16&lt;=1,I16&gt;=28,I16&lt;=31),"Approve","Deny"))</f>
        <v>Deny</v>
      </c>
      <c r="K16" s="3" t="s">
        <v>19</v>
      </c>
      <c r="L16" s="4" t="str">
        <f aca="false">IF(J16=K16,"PASS","FAIL")</f>
        <v>PASS</v>
      </c>
    </row>
    <row r="17" customFormat="false" ht="15" hidden="false" customHeight="true" outlineLevel="0" collapsed="false">
      <c r="A17" s="3" t="s">
        <v>52</v>
      </c>
      <c r="B17" s="3" t="s">
        <v>53</v>
      </c>
      <c r="C17" s="3" t="s">
        <v>29</v>
      </c>
      <c r="D17" s="3" t="str">
        <f aca="false">IF(C17="","N/A",IF(OR(C17="E66.01",C17="E66.09",C17="E66.3"),"Y","N"))</f>
        <v>Y</v>
      </c>
      <c r="E17" s="3" t="n">
        <v>41</v>
      </c>
      <c r="F17" s="3" t="n">
        <v>52</v>
      </c>
      <c r="G17" s="3" t="s">
        <v>15</v>
      </c>
      <c r="H17" s="3" t="n">
        <v>1</v>
      </c>
      <c r="I17" s="3" t="n">
        <v>28</v>
      </c>
      <c r="J17" s="3" t="str">
        <f aca="false">IF(OR(C17="",E17="",F17="",G17=""),"Pend",IF(AND(D17="Y",E17&gt;=30,F17&gt;=18,G17="Y",H17&lt;=1,I17&gt;=28,I17&lt;=31),"Approve","Deny"))</f>
        <v>Approve</v>
      </c>
      <c r="K17" s="3" t="s">
        <v>16</v>
      </c>
      <c r="L17" s="4" t="str">
        <f aca="false">IF(J17=K17,"PASS","FAIL")</f>
        <v>PASS</v>
      </c>
    </row>
    <row r="18" customFormat="false" ht="15" hidden="false" customHeight="true" outlineLevel="0" collapsed="false">
      <c r="A18" s="3" t="s">
        <v>54</v>
      </c>
      <c r="B18" s="3" t="s">
        <v>55</v>
      </c>
      <c r="C18" s="3" t="s">
        <v>25</v>
      </c>
      <c r="D18" s="3" t="str">
        <f aca="false">IF(C18="","N/A",IF(OR(C18="E66.01",C18="E66.09",C18="E66.3"),"Y","N"))</f>
        <v>Y</v>
      </c>
      <c r="E18" s="3" t="n">
        <v>33</v>
      </c>
      <c r="F18" s="3" t="n">
        <v>36</v>
      </c>
      <c r="G18" s="3" t="s">
        <v>15</v>
      </c>
      <c r="H18" s="3" t="n">
        <v>3</v>
      </c>
      <c r="I18" s="3" t="n">
        <v>28</v>
      </c>
      <c r="J18" s="3" t="str">
        <f aca="false">IF(OR(C18="",E18="",F18="",G18=""),"Pend",IF(AND(D18="Y",E18&gt;=30,F18&gt;=18,G18="Y",H18&lt;=1,I18&gt;=28,I18&lt;=31),"Approve","Deny"))</f>
        <v>Deny</v>
      </c>
      <c r="K18" s="3" t="s">
        <v>19</v>
      </c>
      <c r="L18" s="4" t="str">
        <f aca="false">IF(J18=K18,"PASS","FAIL")</f>
        <v>PASS</v>
      </c>
    </row>
    <row r="19" customFormat="false" ht="15" hidden="false" customHeight="true" outlineLevel="0" collapsed="false">
      <c r="A19" s="3" t="s">
        <v>56</v>
      </c>
      <c r="B19" s="3" t="s">
        <v>57</v>
      </c>
      <c r="C19" s="3" t="s">
        <v>14</v>
      </c>
      <c r="D19" s="3" t="str">
        <f aca="false">IF(C19="","N/A",IF(OR(C19="E66.01",C19="E66.09",C19="E66.3"),"Y","N"))</f>
        <v>Y</v>
      </c>
      <c r="E19" s="3" t="n">
        <v>31</v>
      </c>
      <c r="F19" s="3" t="n">
        <v>30</v>
      </c>
      <c r="G19" s="3" t="s">
        <v>15</v>
      </c>
      <c r="H19" s="3" t="n">
        <v>1</v>
      </c>
      <c r="I19" s="3" t="n">
        <v>28</v>
      </c>
      <c r="J19" s="3" t="str">
        <f aca="false">IF(OR(C19="",E19="",F19="",G19=""),"Pend",IF(AND(D19="Y",E19&gt;=30,F19&gt;=18,G19="Y",H19&lt;=1,I19&gt;=28,I19&lt;=31),"Approve","Deny"))</f>
        <v>Approve</v>
      </c>
      <c r="K19" s="3" t="s">
        <v>16</v>
      </c>
      <c r="L19" s="4" t="str">
        <f aca="false">IF(J19=K19,"PASS","FAIL")</f>
        <v>PASS</v>
      </c>
    </row>
    <row r="20" customFormat="false" ht="15" hidden="false" customHeight="true" outlineLevel="0" collapsed="false">
      <c r="A20" s="3" t="s">
        <v>58</v>
      </c>
      <c r="B20" s="3" t="s">
        <v>59</v>
      </c>
      <c r="C20" s="3" t="s">
        <v>25</v>
      </c>
      <c r="D20" s="3" t="str">
        <f aca="false">IF(C20="","N/A",IF(OR(C20="E66.01",C20="E66.09",C20="E66.3"),"Y","N"))</f>
        <v>Y</v>
      </c>
      <c r="E20" s="3" t="n">
        <v>29</v>
      </c>
      <c r="F20" s="3" t="n">
        <v>42</v>
      </c>
      <c r="G20" s="3" t="s">
        <v>15</v>
      </c>
      <c r="H20" s="3" t="n">
        <v>1</v>
      </c>
      <c r="I20" s="3" t="n">
        <v>28</v>
      </c>
      <c r="J20" s="3" t="str">
        <f aca="false">IF(OR(C20="",E20="",F20="",G20=""),"Pend",IF(AND(D20="Y",E20&gt;=30,F20&gt;=18,G20="Y",H20&lt;=1,I20&gt;=28,I20&lt;=31),"Approve","Deny"))</f>
        <v>Deny</v>
      </c>
      <c r="K20" s="3" t="s">
        <v>19</v>
      </c>
      <c r="L20" s="4" t="str">
        <f aca="false">IF(J20=K20,"PASS","FAIL")</f>
        <v>PASS</v>
      </c>
    </row>
    <row r="21" customFormat="false" ht="15" hidden="false" customHeight="true" outlineLevel="0" collapsed="false">
      <c r="A21" s="3" t="s">
        <v>60</v>
      </c>
      <c r="B21" s="3" t="s">
        <v>61</v>
      </c>
      <c r="C21" s="3" t="s">
        <v>29</v>
      </c>
      <c r="D21" s="3" t="str">
        <f aca="false">IF(C21="","N/A",IF(OR(C21="E66.01",C21="E66.09",C21="E66.3"),"Y","N"))</f>
        <v>Y</v>
      </c>
      <c r="E21" s="3" t="n">
        <v>33</v>
      </c>
      <c r="F21" s="3" t="n">
        <v>64</v>
      </c>
      <c r="G21" s="3" t="s">
        <v>15</v>
      </c>
      <c r="H21" s="3" t="n">
        <v>1</v>
      </c>
      <c r="I21" s="3" t="n">
        <v>28</v>
      </c>
      <c r="J21" s="3" t="str">
        <f aca="false">IF(OR(C21="",E21="",F21="",G21=""),"Pend",IF(AND(D21="Y",E21&gt;=30,F21&gt;=18,G21="Y",H21&lt;=1,I21&gt;=28,I21&lt;=31),"Approve","Deny"))</f>
        <v>Approve</v>
      </c>
      <c r="K21" s="3" t="s">
        <v>16</v>
      </c>
      <c r="L21" s="4" t="str">
        <f aca="false">IF(J21=K21,"PASS","FAIL")</f>
        <v>PASS</v>
      </c>
    </row>
    <row r="22" customFormat="false" ht="15" hidden="false" customHeight="true" outlineLevel="0" collapsed="false">
      <c r="A22" s="3" t="s">
        <v>62</v>
      </c>
      <c r="B22" s="3" t="s">
        <v>63</v>
      </c>
      <c r="C22" s="3"/>
      <c r="D22" s="3" t="str">
        <f aca="false">IF(C22="","N/A",IF(OR(C22="E66.01",C22="E66.09",C22="E66.3"),"Y","N"))</f>
        <v>N/A</v>
      </c>
      <c r="E22" s="3"/>
      <c r="F22" s="3" t="n">
        <v>37</v>
      </c>
      <c r="G22" s="3" t="s">
        <v>15</v>
      </c>
      <c r="H22" s="3" t="n">
        <v>1</v>
      </c>
      <c r="I22" s="3" t="n">
        <v>28</v>
      </c>
      <c r="J22" s="3" t="str">
        <f aca="false">IF(OR(C22="",E22="",F22="",G22=""),"Pend",IF(AND(D22="Y",E22&gt;=30,F22&gt;=18,G22="Y",H22&lt;=1,I22&gt;=28,I22&lt;=31),"Approve","Deny"))</f>
        <v>Pend</v>
      </c>
      <c r="K22" s="3" t="s">
        <v>40</v>
      </c>
      <c r="L22" s="4" t="str">
        <f aca="false">IF(J22=K22,"PASS","FAIL")</f>
        <v>PASS</v>
      </c>
    </row>
    <row r="23" customFormat="false" ht="15" hidden="false" customHeight="true" outlineLevel="0" collapsed="false">
      <c r="A23" s="3" t="s">
        <v>64</v>
      </c>
      <c r="B23" s="3" t="s">
        <v>65</v>
      </c>
      <c r="C23" s="3" t="s">
        <v>29</v>
      </c>
      <c r="D23" s="3" t="str">
        <f aca="false">IF(C23="","N/A",IF(OR(C23="E66.01",C23="E66.09",C23="E66.3"),"Y","N"))</f>
        <v>Y</v>
      </c>
      <c r="E23" s="3" t="n">
        <v>38</v>
      </c>
      <c r="F23" s="3" t="n">
        <v>55</v>
      </c>
      <c r="G23" s="3" t="s">
        <v>26</v>
      </c>
      <c r="H23" s="3" t="n">
        <v>1</v>
      </c>
      <c r="I23" s="3" t="n">
        <v>28</v>
      </c>
      <c r="J23" s="3" t="str">
        <f aca="false">IF(OR(C23="",E23="",F23="",G23=""),"Pend",IF(AND(D23="Y",E23&gt;=30,F23&gt;=18,G23="Y",H23&lt;=1,I23&gt;=28,I23&lt;=31),"Approve","Deny"))</f>
        <v>Deny</v>
      </c>
      <c r="K23" s="3" t="s">
        <v>19</v>
      </c>
      <c r="L23" s="4" t="str">
        <f aca="false">IF(J23=K23,"PASS","FAIL")</f>
        <v>PASS</v>
      </c>
    </row>
    <row r="24" customFormat="false" ht="15" hidden="false" customHeight="true" outlineLevel="0" collapsed="false">
      <c r="A24" s="3" t="s">
        <v>66</v>
      </c>
      <c r="B24" s="3" t="s">
        <v>67</v>
      </c>
      <c r="C24" s="3" t="s">
        <v>25</v>
      </c>
      <c r="D24" s="3" t="str">
        <f aca="false">IF(C24="","N/A",IF(OR(C24="E66.01",C24="E66.09",C24="E66.3"),"Y","N"))</f>
        <v>Y</v>
      </c>
      <c r="E24" s="3" t="n">
        <v>30</v>
      </c>
      <c r="F24" s="3" t="n">
        <v>33</v>
      </c>
      <c r="G24" s="3" t="s">
        <v>15</v>
      </c>
      <c r="H24" s="3" t="n">
        <v>1</v>
      </c>
      <c r="I24" s="3" t="n">
        <v>28</v>
      </c>
      <c r="J24" s="3" t="str">
        <f aca="false">IF(OR(C24="",E24="",F24="",G24=""),"Pend",IF(AND(D24="Y",E24&gt;=30,F24&gt;=18,G24="Y",H24&lt;=1,I24&gt;=28,I24&lt;=31),"Approve","Deny"))</f>
        <v>Approve</v>
      </c>
      <c r="K24" s="3" t="s">
        <v>16</v>
      </c>
      <c r="L24" s="4" t="str">
        <f aca="false">IF(J24=K24,"PASS","FAIL")</f>
        <v>PASS</v>
      </c>
    </row>
    <row r="25" customFormat="false" ht="15" hidden="false" customHeight="true" outlineLevel="0" collapsed="false">
      <c r="A25" s="3" t="s">
        <v>68</v>
      </c>
      <c r="B25" s="3" t="s">
        <v>69</v>
      </c>
      <c r="C25" s="3" t="s">
        <v>29</v>
      </c>
      <c r="D25" s="3" t="str">
        <f aca="false">IF(C25="","N/A",IF(OR(C25="E66.01",C25="E66.09",C25="E66.3"),"Y","N"))</f>
        <v>Y</v>
      </c>
      <c r="E25" s="3" t="n">
        <v>34</v>
      </c>
      <c r="F25" s="3" t="n">
        <v>17</v>
      </c>
      <c r="G25" s="3" t="s">
        <v>15</v>
      </c>
      <c r="H25" s="3" t="n">
        <v>1</v>
      </c>
      <c r="I25" s="3" t="n">
        <v>28</v>
      </c>
      <c r="J25" s="3" t="str">
        <f aca="false">IF(OR(C25="",E25="",F25="",G25=""),"Pend",IF(AND(D25="Y",E25&gt;=30,F25&gt;=18,G25="Y",H25&lt;=1,I25&gt;=28,I25&lt;=31),"Approve","Deny"))</f>
        <v>Deny</v>
      </c>
      <c r="K25" s="3" t="s">
        <v>19</v>
      </c>
      <c r="L25" s="4" t="str">
        <f aca="false">IF(J25=K25,"PASS","FAIL")</f>
        <v>PASS</v>
      </c>
    </row>
    <row r="26" customFormat="false" ht="15" hidden="false" customHeight="true" outlineLevel="0" collapsed="false">
      <c r="A26" s="3" t="s">
        <v>70</v>
      </c>
      <c r="B26" s="3" t="s">
        <v>71</v>
      </c>
      <c r="C26" s="3" t="s">
        <v>14</v>
      </c>
      <c r="D26" s="3" t="str">
        <f aca="false">IF(C26="","N/A",IF(OR(C26="E66.01",C26="E66.09",C26="E66.3"),"Y","N"))</f>
        <v>Y</v>
      </c>
      <c r="E26" s="3" t="n">
        <v>32</v>
      </c>
      <c r="F26" s="3" t="n">
        <v>46</v>
      </c>
      <c r="G26" s="3" t="s">
        <v>15</v>
      </c>
      <c r="H26" s="3" t="n">
        <v>1</v>
      </c>
      <c r="I26" s="3" t="n">
        <v>31</v>
      </c>
      <c r="J26" s="3" t="str">
        <f aca="false">IF(OR(C26="",E26="",F26="",G26=""),"Pend",IF(AND(D26="Y",E26&gt;=30,F26&gt;=18,G26="Y",H26&lt;=1,I26&gt;=28,I26&lt;=31),"Approve","Deny"))</f>
        <v>Approve</v>
      </c>
      <c r="K26" s="3" t="s">
        <v>16</v>
      </c>
      <c r="L26" s="4" t="str">
        <f aca="false">IF(J26=K26,"PASS","FAIL")</f>
        <v>PASS</v>
      </c>
    </row>
    <row r="28" customFormat="false" ht="15" hidden="false" customHeight="true" outlineLevel="0" collapsed="false">
      <c r="A28" s="6" t="s">
        <v>72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</sheetData>
  <mergeCells count="1"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34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</row>
    <row r="2" customFormat="false" ht="60" hidden="false" customHeight="true" outlineLevel="0" collapsed="false">
      <c r="A2" s="7" t="s">
        <v>82</v>
      </c>
      <c r="B2" s="7" t="s">
        <v>27</v>
      </c>
      <c r="C2" s="7" t="s">
        <v>83</v>
      </c>
      <c r="D2" s="7" t="s">
        <v>84</v>
      </c>
      <c r="E2" s="7" t="s">
        <v>16</v>
      </c>
      <c r="F2" s="7" t="s">
        <v>85</v>
      </c>
      <c r="G2" s="7" t="s">
        <v>86</v>
      </c>
      <c r="H2" s="7" t="s">
        <v>87</v>
      </c>
      <c r="I2" s="7" t="s">
        <v>88</v>
      </c>
    </row>
    <row r="3" customFormat="false" ht="60" hidden="false" customHeight="true" outlineLevel="0" collapsed="false">
      <c r="A3" s="7" t="s">
        <v>89</v>
      </c>
      <c r="B3" s="7" t="s">
        <v>41</v>
      </c>
      <c r="C3" s="7" t="s">
        <v>90</v>
      </c>
      <c r="D3" s="7" t="s">
        <v>91</v>
      </c>
      <c r="E3" s="7" t="s">
        <v>19</v>
      </c>
      <c r="F3" s="7" t="s">
        <v>92</v>
      </c>
      <c r="G3" s="7" t="s">
        <v>93</v>
      </c>
      <c r="H3" s="7" t="s">
        <v>94</v>
      </c>
      <c r="I3" s="7" t="s">
        <v>88</v>
      </c>
    </row>
    <row r="4" customFormat="false" ht="60" hidden="false" customHeight="true" outlineLevel="0" collapsed="false">
      <c r="A4" s="7" t="s">
        <v>95</v>
      </c>
      <c r="B4" s="7" t="s">
        <v>47</v>
      </c>
      <c r="C4" s="7" t="s">
        <v>96</v>
      </c>
      <c r="D4" s="7" t="s">
        <v>97</v>
      </c>
      <c r="E4" s="7" t="s">
        <v>16</v>
      </c>
      <c r="F4" s="7" t="s">
        <v>85</v>
      </c>
      <c r="G4" s="7" t="s">
        <v>98</v>
      </c>
      <c r="H4" s="7" t="s">
        <v>99</v>
      </c>
      <c r="I4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2026-08-13T20:56:15Z</dcterms:created>
  <dc:creator>openpyxl</dc:creator>
  <dc:description/>
  <dc:language>en-US</dc:language>
  <cp:lastModifiedBy/>
  <dcterms:modified xsi:type="dcterms:W3CDTF">2026-08-13T20:56:46Z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